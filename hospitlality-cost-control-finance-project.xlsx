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 activeTab="1"/>
  </bookViews>
  <sheets>
    <sheet name="Inventory_Ledger" sheetId="1" r:id="rId1"/>
    <sheet name="COGS_Reconciliation" sheetId="2" r:id="rId2"/>
    <sheet name="Event_Monitoring" sheetId="3" r:id="rId3"/>
    <sheet name="Dashboard" sheetId="7" r:id="rId4"/>
    <sheet name="Control_Checklist" sheetId="8" r:id="rId5"/>
  </sheets>
  <calcPr calcId="191029" iterate="1" iterateCount="5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<sst xmlns="http://schemas.openxmlformats.org/spreadsheetml/2006/main" count="110" uniqueCount="85">
  <si>
    <t>Date</t>
  </si>
  <si>
    <t>Opening Qty</t>
  </si>
  <si>
    <t>Purchases</t>
  </si>
  <si>
    <t>Transfers In</t>
  </si>
  <si>
    <t>Transfers Out</t>
  </si>
  <si>
    <t>Spoilage</t>
  </si>
  <si>
    <t>Theoretical Closing</t>
  </si>
  <si>
    <t>Physical Count</t>
  </si>
  <si>
    <t>Variance Qty</t>
  </si>
  <si>
    <t>Unit Cost (CP)</t>
  </si>
  <si>
    <t>Variance Value</t>
  </si>
  <si>
    <t>Variance %</t>
  </si>
  <si>
    <t>Control Flag</t>
  </si>
  <si>
    <t>SUMMARY</t>
  </si>
  <si>
    <t>Total Purchases</t>
  </si>
  <si>
    <t xml:space="preserve">Total Spoilage </t>
  </si>
  <si>
    <t xml:space="preserve">Total Variance Value </t>
  </si>
  <si>
    <t xml:space="preserve">Ending Inventory Value </t>
  </si>
  <si>
    <t>Inventory Summary</t>
  </si>
  <si>
    <t>Opening Inventory Value</t>
  </si>
  <si>
    <t>Purchases Value</t>
  </si>
  <si>
    <t>Assumptions</t>
  </si>
  <si>
    <t>Closing Inventory Value</t>
  </si>
  <si>
    <t>Cost per Bottle (CP)</t>
  </si>
  <si>
    <t>COGS</t>
  </si>
  <si>
    <t>Bottles Sold</t>
  </si>
  <si>
    <t>From E31 (Invetory_Ledger)</t>
  </si>
  <si>
    <t>Revenue per Bottle (SP)</t>
  </si>
  <si>
    <t xml:space="preserve">Revenue </t>
  </si>
  <si>
    <t>Discount %</t>
  </si>
  <si>
    <t>Total Beverage Revenue</t>
  </si>
  <si>
    <t>Discounts</t>
  </si>
  <si>
    <t>Net Revenue</t>
  </si>
  <si>
    <t>Gross Profit</t>
  </si>
  <si>
    <t>Gross Margin %</t>
  </si>
  <si>
    <t>Beverage Cost %</t>
  </si>
  <si>
    <t>Budget Control</t>
  </si>
  <si>
    <t>Metric</t>
  </si>
  <si>
    <t>Budget</t>
  </si>
  <si>
    <t>Actual</t>
  </si>
  <si>
    <t>Variance</t>
  </si>
  <si>
    <t>Event</t>
  </si>
  <si>
    <t>Expected</t>
  </si>
  <si>
    <t>Event COGS</t>
  </si>
  <si>
    <t>Event Revenue</t>
  </si>
  <si>
    <t xml:space="preserve">Wedding </t>
  </si>
  <si>
    <t>Corporate</t>
  </si>
  <si>
    <t>Core KPIs</t>
  </si>
  <si>
    <t>Total Revenue</t>
  </si>
  <si>
    <t>Inventory Variance %</t>
  </si>
  <si>
    <t>Spoilage %</t>
  </si>
  <si>
    <t>Status</t>
  </si>
  <si>
    <t>Inventory Variance</t>
  </si>
  <si>
    <t>Discount Level</t>
  </si>
  <si>
    <t>Value</t>
  </si>
  <si>
    <t>Component</t>
  </si>
  <si>
    <t>Control Area</t>
  </si>
  <si>
    <t>Frequency</t>
  </si>
  <si>
    <t>Responsible</t>
  </si>
  <si>
    <t>Remarks</t>
  </si>
  <si>
    <t>Daily Inventory Posting</t>
  </si>
  <si>
    <t xml:space="preserve"> Daily</t>
  </si>
  <si>
    <t xml:space="preserve">Cost Controller </t>
  </si>
  <si>
    <t>Completed</t>
  </si>
  <si>
    <t>No backlog</t>
  </si>
  <si>
    <t>Physical Count Verification</t>
  </si>
  <si>
    <t>Weekly</t>
  </si>
  <si>
    <t>Outlet Supervisor</t>
  </si>
  <si>
    <t>Variance within 3%</t>
  </si>
  <si>
    <t>Variance &gt;3% Investigation</t>
  </si>
  <si>
    <t>As Required</t>
  </si>
  <si>
    <t>Finance</t>
  </si>
  <si>
    <t xml:space="preserve"> 1 Case</t>
  </si>
  <si>
    <t>Investigated on 28th</t>
  </si>
  <si>
    <t>Event Consumption Reconciliation</t>
  </si>
  <si>
    <t>Per Event</t>
  </si>
  <si>
    <t>Wedding over by 3 bottles</t>
  </si>
  <si>
    <t>Discount Review</t>
  </si>
  <si>
    <t>Monthly</t>
  </si>
  <si>
    <t xml:space="preserve">Within Limit </t>
  </si>
  <si>
    <t>8% vs 10% threshold</t>
  </si>
  <si>
    <t>Purchase Authorization Check</t>
  </si>
  <si>
    <t xml:space="preserve">Per Order </t>
  </si>
  <si>
    <t>Approved</t>
  </si>
  <si>
    <t>All matched GRN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</si>
</sst>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0.00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9" borderId="8" applyNumberFormat="0" applyAlignment="0" applyProtection="0">
      <alignment vertical="center"/>
    </xf>
    <xf numFmtId="0" fontId="11" fillId="10" borderId="9" applyNumberFormat="0" applyAlignment="0" applyProtection="0">
      <alignment vertical="center"/>
    </xf>
    <xf numFmtId="0" fontId="12" fillId="10" borderId="8" applyNumberFormat="0" applyAlignment="0" applyProtection="0">
      <alignment vertical="center"/>
    </xf>
    <xf numFmtId="0" fontId="13" fillId="11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3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0" fontId="0" fillId="0" borderId="1" xfId="3" applyNumberFormat="1" applyFont="1" applyBorder="1" applyAlignment="1">
      <alignment horizontal="center" vertical="center"/>
    </xf>
    <xf numFmtId="10" fontId="0" fillId="0" borderId="1" xfId="0" applyNumberFormat="1" applyFont="1" applyBorder="1" applyAlignment="1">
      <alignment horizontal="center" vertical="center"/>
    </xf>
    <xf numFmtId="0" fontId="0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 wrapText="1"/>
    </xf>
    <xf numFmtId="180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1" fillId="2" borderId="0" xfId="0" applyFont="1" applyFill="1" applyAlignment="1">
      <alignment horizontal="left"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9" fontId="0" fillId="0" borderId="1" xfId="0" applyNumberFormat="1" applyBorder="1" applyAlignment="1">
      <alignment horizontal="left" vertical="center" wrapText="1"/>
    </xf>
    <xf numFmtId="0" fontId="1" fillId="0" borderId="1" xfId="0" applyFont="1" applyFill="1" applyBorder="1">
      <alignment vertical="center"/>
    </xf>
    <xf numFmtId="3" fontId="0" fillId="0" borderId="1" xfId="0" applyNumberForma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0" fontId="0" fillId="0" borderId="1" xfId="3" applyNumberFormat="1" applyBorder="1" applyAlignment="1">
      <alignment vertical="center" wrapText="1"/>
    </xf>
    <xf numFmtId="10" fontId="0" fillId="0" borderId="1" xfId="3" applyNumberFormat="1" applyBorder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10" fontId="0" fillId="0" borderId="1" xfId="0" applyNumberFormat="1" applyBorder="1" applyAlignment="1">
      <alignment vertical="center" wrapText="1"/>
    </xf>
    <xf numFmtId="0" fontId="0" fillId="5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180" fontId="0" fillId="4" borderId="1" xfId="0" applyNumberForma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2" borderId="0" xfId="0" applyNumberFormat="1" applyFill="1" applyAlignment="1">
      <alignment horizontal="left" vertical="center"/>
    </xf>
    <xf numFmtId="0" fontId="1" fillId="6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7" borderId="1" xfId="0" applyNumberForma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181" fontId="0" fillId="0" borderId="1" xfId="0" applyNumberFormat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Revenue vs COGS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012176030614"/>
          <c:y val="0.331393737877528"/>
          <c:w val="0.828561488954601"/>
          <c:h val="0.5279578830701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Dashboard!$B$47</c:f>
              <c:strCache>
                <c:ptCount val="1"/>
                <c:pt idx="0">
                  <c:v>Net Revenue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Dashboard!$C$47</c:f>
              <c:numCache>
                <c:formatCode>#,##0</c:formatCode>
                <c:ptCount val="1"/>
                <c:pt idx="0">
                  <c:v>57334.4</c:v>
                </c:pt>
              </c:numCache>
            </c:numRef>
          </c:val>
        </c:ser>
        <c:ser>
          <c:idx val="1"/>
          <c:order val="1"/>
          <c:tx>
            <c:strRef>
              <c:f>Dashboard!$B$48</c:f>
              <c:strCache>
                <c:ptCount val="1"/>
                <c:pt idx="0">
                  <c:v>COGS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Dashboard!$C$48</c:f>
              <c:numCache>
                <c:formatCode>#,##0</c:formatCode>
                <c:ptCount val="1"/>
                <c:pt idx="0">
                  <c:v>13940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83354682"/>
        <c:axId val="60903985"/>
      </c:barChart>
      <c:catAx>
        <c:axId val="78335468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903985"/>
        <c:crosses val="autoZero"/>
        <c:auto val="1"/>
        <c:lblAlgn val="ctr"/>
        <c:lblOffset val="100"/>
        <c:noMultiLvlLbl val="0"/>
      </c:catAx>
      <c:valAx>
        <c:axId val="60903985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335468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Revenue Composition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Dashboard!$B$51:$B$52</c:f>
              <c:strCache>
                <c:ptCount val="2"/>
                <c:pt idx="0">
                  <c:v>COGS</c:v>
                </c:pt>
                <c:pt idx="1">
                  <c:v>Gross Profit</c:v>
                </c:pt>
              </c:strCache>
            </c:strRef>
          </c:cat>
          <c:val>
            <c:numRef>
              <c:f>Dashboard!$C$51:$C$52</c:f>
              <c:numCache>
                <c:formatCode>#,##0</c:formatCode>
                <c:ptCount val="2"/>
                <c:pt idx="0">
                  <c:v>13940</c:v>
                </c:pt>
                <c:pt idx="1">
                  <c:v>43394.4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132715</xdr:colOff>
      <xdr:row>0</xdr:row>
      <xdr:rowOff>129540</xdr:rowOff>
    </xdr:from>
    <xdr:to>
      <xdr:col>9</xdr:col>
      <xdr:colOff>149225</xdr:colOff>
      <xdr:row>13</xdr:row>
      <xdr:rowOff>140970</xdr:rowOff>
    </xdr:to>
    <xdr:graphicFrame>
      <xdr:nvGraphicFramePr>
        <xdr:cNvPr id="2" name="Chart 1"/>
        <xdr:cNvGraphicFramePr/>
      </xdr:nvGraphicFramePr>
      <xdr:xfrm>
        <a:off x="4707255" y="129540"/>
        <a:ext cx="3674110" cy="24053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112395</xdr:colOff>
      <xdr:row>14</xdr:row>
      <xdr:rowOff>127000</xdr:rowOff>
    </xdr:from>
    <xdr:to>
      <xdr:col>9</xdr:col>
      <xdr:colOff>147955</xdr:colOff>
      <xdr:row>27</xdr:row>
      <xdr:rowOff>102870</xdr:rowOff>
    </xdr:to>
    <xdr:graphicFrame>
      <xdr:nvGraphicFramePr>
        <xdr:cNvPr id="3" name="Chart 2"/>
        <xdr:cNvGraphicFramePr/>
      </xdr:nvGraphicFramePr>
      <xdr:xfrm>
        <a:off x="4686935" y="2705100"/>
        <a:ext cx="3693160" cy="23698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9"/>
  <sheetViews>
    <sheetView zoomScale="40" zoomScaleNormal="40" zoomScalePageLayoutView="25" zoomScaleSheetLayoutView="55" workbookViewId="0">
      <selection activeCell="E35" sqref="E35"/>
    </sheetView>
  </sheetViews>
  <sheetFormatPr defaultColWidth="8.72727272727273" defaultRowHeight="14.5"/>
  <cols>
    <col min="1" max="1" width="14.8181818181818" style="47" customWidth="1"/>
    <col min="2" max="2" width="12.0727272727273" style="47" customWidth="1"/>
    <col min="3" max="3" width="13.1090909090909" style="47" customWidth="1"/>
    <col min="4" max="4" width="11.5545454545455" style="47" customWidth="1"/>
    <col min="5" max="5" width="12.7181818181818" style="47" customWidth="1"/>
    <col min="6" max="6" width="11.8090909090909" style="47" customWidth="1"/>
    <col min="7" max="8" width="19" style="47" customWidth="1"/>
    <col min="9" max="9" width="11.9454545454545" style="47" customWidth="1"/>
    <col min="10" max="10" width="14.7545454545455" style="47" customWidth="1"/>
    <col min="11" max="11" width="13.1090909090909" style="47" customWidth="1"/>
    <col min="12" max="12" width="15.5454545454545" style="47" customWidth="1"/>
    <col min="13" max="13" width="17.3636363636364" style="47" customWidth="1"/>
    <col min="14" max="16384" width="8.72727272727273" style="47"/>
  </cols>
  <sheetData>
    <row r="1" s="44" customFormat="1" ht="25" customHeight="1" spans="1:13">
      <c r="A1" s="48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8" t="s">
        <v>8</v>
      </c>
      <c r="J1" s="48" t="s">
        <v>9</v>
      </c>
      <c r="K1" s="48" t="s">
        <v>10</v>
      </c>
      <c r="L1" s="48" t="s">
        <v>11</v>
      </c>
      <c r="M1" s="57" t="s">
        <v>12</v>
      </c>
    </row>
    <row r="2" spans="1:13">
      <c r="A2" s="21">
        <v>45876</v>
      </c>
      <c r="B2" s="49">
        <v>100</v>
      </c>
      <c r="C2" s="49">
        <v>0</v>
      </c>
      <c r="D2" s="49">
        <v>0</v>
      </c>
      <c r="E2" s="49">
        <v>5</v>
      </c>
      <c r="F2" s="49">
        <v>0</v>
      </c>
      <c r="G2" s="49">
        <f>B2+C2+D2-E2-F2</f>
        <v>95</v>
      </c>
      <c r="H2" s="49">
        <v>95</v>
      </c>
      <c r="I2" s="49">
        <f>H2-G2</f>
        <v>0</v>
      </c>
      <c r="J2" s="49">
        <v>85</v>
      </c>
      <c r="K2" s="49">
        <f>I2*J2</f>
        <v>0</v>
      </c>
      <c r="L2" s="49">
        <f>IF(G2=0,0,I2/G2)</f>
        <v>0</v>
      </c>
      <c r="M2" s="49" t="str">
        <f>IF(ABS(L2)&gt;0.03,"Investigate","OK")</f>
        <v>OK</v>
      </c>
    </row>
    <row r="3" spans="1:13">
      <c r="A3" s="21">
        <v>45877</v>
      </c>
      <c r="B3" s="49">
        <f>G2</f>
        <v>95</v>
      </c>
      <c r="C3" s="49">
        <v>0</v>
      </c>
      <c r="D3" s="49">
        <v>0</v>
      </c>
      <c r="E3" s="49">
        <v>6</v>
      </c>
      <c r="F3" s="49">
        <v>0</v>
      </c>
      <c r="G3" s="49">
        <f t="shared" ref="G3:G20" si="0">B3+C3+D3-E3-F3</f>
        <v>89</v>
      </c>
      <c r="H3" s="49">
        <v>89</v>
      </c>
      <c r="I3" s="49">
        <f t="shared" ref="I3:I30" si="1">H3-G3</f>
        <v>0</v>
      </c>
      <c r="J3" s="49">
        <v>85</v>
      </c>
      <c r="K3" s="49">
        <f t="shared" ref="K3:K30" si="2">I3*J3</f>
        <v>0</v>
      </c>
      <c r="L3" s="49">
        <f t="shared" ref="L3:L30" si="3">IF(G3=0,0,I3/G3)</f>
        <v>0</v>
      </c>
      <c r="M3" s="49" t="str">
        <f t="shared" ref="M3:M30" si="4">IF(ABS(L3)&gt;0.03,"Investigate","OK")</f>
        <v>OK</v>
      </c>
    </row>
    <row r="4" spans="1:13">
      <c r="A4" s="21">
        <v>45878</v>
      </c>
      <c r="B4" s="49">
        <f t="shared" ref="B4:B30" si="5">G3</f>
        <v>89</v>
      </c>
      <c r="C4" s="49">
        <v>0</v>
      </c>
      <c r="D4" s="49">
        <v>0</v>
      </c>
      <c r="E4" s="49">
        <v>4</v>
      </c>
      <c r="F4" s="49">
        <v>0</v>
      </c>
      <c r="G4" s="49">
        <f t="shared" si="0"/>
        <v>85</v>
      </c>
      <c r="H4" s="49">
        <v>85</v>
      </c>
      <c r="I4" s="49">
        <f t="shared" si="1"/>
        <v>0</v>
      </c>
      <c r="J4" s="49">
        <v>85</v>
      </c>
      <c r="K4" s="49">
        <f t="shared" si="2"/>
        <v>0</v>
      </c>
      <c r="L4" s="49">
        <f t="shared" si="3"/>
        <v>0</v>
      </c>
      <c r="M4" s="49" t="str">
        <f t="shared" si="4"/>
        <v>OK</v>
      </c>
    </row>
    <row r="5" spans="1:13">
      <c r="A5" s="21">
        <v>45879</v>
      </c>
      <c r="B5" s="49">
        <f t="shared" si="5"/>
        <v>85</v>
      </c>
      <c r="C5" s="49">
        <v>0</v>
      </c>
      <c r="D5" s="49">
        <v>0</v>
      </c>
      <c r="E5" s="49">
        <v>5</v>
      </c>
      <c r="F5" s="49">
        <v>1</v>
      </c>
      <c r="G5" s="49">
        <f t="shared" si="0"/>
        <v>79</v>
      </c>
      <c r="H5" s="49">
        <v>79</v>
      </c>
      <c r="I5" s="49">
        <f t="shared" si="1"/>
        <v>0</v>
      </c>
      <c r="J5" s="49">
        <v>85</v>
      </c>
      <c r="K5" s="49">
        <f t="shared" si="2"/>
        <v>0</v>
      </c>
      <c r="L5" s="49">
        <f t="shared" si="3"/>
        <v>0</v>
      </c>
      <c r="M5" s="49" t="str">
        <f t="shared" si="4"/>
        <v>OK</v>
      </c>
    </row>
    <row r="6" spans="1:13">
      <c r="A6" s="21">
        <v>45880</v>
      </c>
      <c r="B6" s="49">
        <f t="shared" si="5"/>
        <v>79</v>
      </c>
      <c r="C6" s="49">
        <v>50</v>
      </c>
      <c r="D6" s="49">
        <v>0</v>
      </c>
      <c r="E6" s="49">
        <v>7</v>
      </c>
      <c r="F6" s="49">
        <v>0</v>
      </c>
      <c r="G6" s="49">
        <f t="shared" si="0"/>
        <v>122</v>
      </c>
      <c r="H6" s="49">
        <v>122</v>
      </c>
      <c r="I6" s="49">
        <f t="shared" si="1"/>
        <v>0</v>
      </c>
      <c r="J6" s="49">
        <v>85</v>
      </c>
      <c r="K6" s="49">
        <f t="shared" si="2"/>
        <v>0</v>
      </c>
      <c r="L6" s="49">
        <f t="shared" si="3"/>
        <v>0</v>
      </c>
      <c r="M6" s="49" t="str">
        <f t="shared" si="4"/>
        <v>OK</v>
      </c>
    </row>
    <row r="7" spans="1:13">
      <c r="A7" s="21">
        <v>45881</v>
      </c>
      <c r="B7" s="49">
        <f t="shared" si="5"/>
        <v>122</v>
      </c>
      <c r="C7" s="49">
        <v>0</v>
      </c>
      <c r="D7" s="49">
        <v>0</v>
      </c>
      <c r="E7" s="49">
        <v>8</v>
      </c>
      <c r="F7" s="49">
        <v>0</v>
      </c>
      <c r="G7" s="49">
        <f t="shared" si="0"/>
        <v>114</v>
      </c>
      <c r="H7" s="49">
        <v>114</v>
      </c>
      <c r="I7" s="49">
        <f t="shared" si="1"/>
        <v>0</v>
      </c>
      <c r="J7" s="49">
        <v>85</v>
      </c>
      <c r="K7" s="49">
        <f t="shared" si="2"/>
        <v>0</v>
      </c>
      <c r="L7" s="49">
        <f t="shared" si="3"/>
        <v>0</v>
      </c>
      <c r="M7" s="49" t="str">
        <f t="shared" si="4"/>
        <v>OK</v>
      </c>
    </row>
    <row r="8" spans="1:13">
      <c r="A8" s="21">
        <v>45882</v>
      </c>
      <c r="B8" s="49">
        <f t="shared" si="5"/>
        <v>114</v>
      </c>
      <c r="C8" s="49">
        <v>0</v>
      </c>
      <c r="D8" s="49">
        <v>0</v>
      </c>
      <c r="E8" s="49">
        <v>5</v>
      </c>
      <c r="F8" s="49">
        <v>0</v>
      </c>
      <c r="G8" s="49">
        <f t="shared" si="0"/>
        <v>109</v>
      </c>
      <c r="H8" s="49">
        <v>112</v>
      </c>
      <c r="I8" s="49">
        <f t="shared" si="1"/>
        <v>3</v>
      </c>
      <c r="J8" s="49">
        <v>85</v>
      </c>
      <c r="K8" s="49">
        <f t="shared" si="2"/>
        <v>255</v>
      </c>
      <c r="L8" s="58">
        <f t="shared" si="3"/>
        <v>0.0275229357798165</v>
      </c>
      <c r="M8" s="49" t="str">
        <f t="shared" si="4"/>
        <v>OK</v>
      </c>
    </row>
    <row r="9" spans="1:13">
      <c r="A9" s="21">
        <v>45883</v>
      </c>
      <c r="B9" s="49">
        <f t="shared" si="5"/>
        <v>109</v>
      </c>
      <c r="C9" s="49">
        <v>0</v>
      </c>
      <c r="D9" s="49">
        <v>0</v>
      </c>
      <c r="E9" s="49">
        <v>6</v>
      </c>
      <c r="F9" s="49">
        <v>0</v>
      </c>
      <c r="G9" s="49">
        <f t="shared" si="0"/>
        <v>103</v>
      </c>
      <c r="H9" s="49">
        <v>103</v>
      </c>
      <c r="I9" s="49">
        <f t="shared" si="1"/>
        <v>0</v>
      </c>
      <c r="J9" s="49">
        <v>85</v>
      </c>
      <c r="K9" s="49">
        <f t="shared" si="2"/>
        <v>0</v>
      </c>
      <c r="L9" s="49">
        <f t="shared" si="3"/>
        <v>0</v>
      </c>
      <c r="M9" s="49" t="str">
        <f t="shared" si="4"/>
        <v>OK</v>
      </c>
    </row>
    <row r="10" spans="1:13">
      <c r="A10" s="21">
        <v>45884</v>
      </c>
      <c r="B10" s="49">
        <f t="shared" si="5"/>
        <v>103</v>
      </c>
      <c r="C10" s="49">
        <v>0</v>
      </c>
      <c r="D10" s="49">
        <v>0</v>
      </c>
      <c r="E10" s="49">
        <v>8</v>
      </c>
      <c r="F10" s="49">
        <v>0</v>
      </c>
      <c r="G10" s="49">
        <f t="shared" si="0"/>
        <v>95</v>
      </c>
      <c r="H10" s="49">
        <v>95</v>
      </c>
      <c r="I10" s="49">
        <f t="shared" si="1"/>
        <v>0</v>
      </c>
      <c r="J10" s="49">
        <v>85</v>
      </c>
      <c r="K10" s="49">
        <f t="shared" si="2"/>
        <v>0</v>
      </c>
      <c r="L10" s="49">
        <f t="shared" si="3"/>
        <v>0</v>
      </c>
      <c r="M10" s="49" t="str">
        <f t="shared" si="4"/>
        <v>OK</v>
      </c>
    </row>
    <row r="11" spans="1:13">
      <c r="A11" s="21">
        <v>45885</v>
      </c>
      <c r="B11" s="49">
        <f t="shared" si="5"/>
        <v>95</v>
      </c>
      <c r="C11" s="49">
        <v>0</v>
      </c>
      <c r="D11" s="49">
        <v>0</v>
      </c>
      <c r="E11" s="49">
        <v>4</v>
      </c>
      <c r="F11" s="49">
        <v>0</v>
      </c>
      <c r="G11" s="49">
        <f t="shared" si="0"/>
        <v>91</v>
      </c>
      <c r="H11" s="49">
        <v>91</v>
      </c>
      <c r="I11" s="49">
        <f t="shared" si="1"/>
        <v>0</v>
      </c>
      <c r="J11" s="49">
        <v>85</v>
      </c>
      <c r="K11" s="49">
        <f t="shared" si="2"/>
        <v>0</v>
      </c>
      <c r="L11" s="49">
        <f t="shared" si="3"/>
        <v>0</v>
      </c>
      <c r="M11" s="49" t="str">
        <f t="shared" si="4"/>
        <v>OK</v>
      </c>
    </row>
    <row r="12" spans="1:13">
      <c r="A12" s="21">
        <v>45886</v>
      </c>
      <c r="B12" s="49">
        <f t="shared" si="5"/>
        <v>91</v>
      </c>
      <c r="C12" s="49">
        <v>0</v>
      </c>
      <c r="D12" s="49">
        <v>0</v>
      </c>
      <c r="E12" s="49">
        <v>3</v>
      </c>
      <c r="F12" s="49">
        <v>0</v>
      </c>
      <c r="G12" s="49">
        <f t="shared" si="0"/>
        <v>88</v>
      </c>
      <c r="H12" s="49">
        <v>88</v>
      </c>
      <c r="I12" s="49">
        <f t="shared" si="1"/>
        <v>0</v>
      </c>
      <c r="J12" s="49">
        <v>85</v>
      </c>
      <c r="K12" s="49">
        <f t="shared" si="2"/>
        <v>0</v>
      </c>
      <c r="L12" s="49">
        <f t="shared" si="3"/>
        <v>0</v>
      </c>
      <c r="M12" s="49" t="str">
        <f t="shared" si="4"/>
        <v>OK</v>
      </c>
    </row>
    <row r="13" spans="1:13">
      <c r="A13" s="21">
        <v>45887</v>
      </c>
      <c r="B13" s="49">
        <f t="shared" si="5"/>
        <v>88</v>
      </c>
      <c r="C13" s="49">
        <v>0</v>
      </c>
      <c r="D13" s="49">
        <v>0</v>
      </c>
      <c r="E13" s="49">
        <v>6</v>
      </c>
      <c r="F13" s="49">
        <v>1</v>
      </c>
      <c r="G13" s="49">
        <f t="shared" si="0"/>
        <v>81</v>
      </c>
      <c r="H13" s="49">
        <v>79</v>
      </c>
      <c r="I13" s="49">
        <f t="shared" si="1"/>
        <v>-2</v>
      </c>
      <c r="J13" s="49">
        <v>85</v>
      </c>
      <c r="K13" s="49">
        <f t="shared" si="2"/>
        <v>-170</v>
      </c>
      <c r="L13" s="58">
        <f t="shared" si="3"/>
        <v>-0.0246913580246914</v>
      </c>
      <c r="M13" s="49" t="str">
        <f t="shared" si="4"/>
        <v>OK</v>
      </c>
    </row>
    <row r="14" spans="1:13">
      <c r="A14" s="21">
        <v>45888</v>
      </c>
      <c r="B14" s="49">
        <f t="shared" si="5"/>
        <v>81</v>
      </c>
      <c r="C14" s="49">
        <v>0</v>
      </c>
      <c r="D14" s="49">
        <v>0</v>
      </c>
      <c r="E14" s="49">
        <v>5</v>
      </c>
      <c r="F14" s="49">
        <v>0</v>
      </c>
      <c r="G14" s="49">
        <f t="shared" si="0"/>
        <v>76</v>
      </c>
      <c r="H14" s="49">
        <v>76</v>
      </c>
      <c r="I14" s="49">
        <f t="shared" si="1"/>
        <v>0</v>
      </c>
      <c r="J14" s="49">
        <v>85</v>
      </c>
      <c r="K14" s="49">
        <f t="shared" si="2"/>
        <v>0</v>
      </c>
      <c r="L14" s="49">
        <f t="shared" si="3"/>
        <v>0</v>
      </c>
      <c r="M14" s="49" t="str">
        <f t="shared" si="4"/>
        <v>OK</v>
      </c>
    </row>
    <row r="15" spans="1:13">
      <c r="A15" s="21">
        <v>45889</v>
      </c>
      <c r="B15" s="49">
        <f t="shared" si="5"/>
        <v>76</v>
      </c>
      <c r="C15" s="49">
        <v>40</v>
      </c>
      <c r="D15" s="49">
        <v>0</v>
      </c>
      <c r="E15" s="49">
        <v>7</v>
      </c>
      <c r="F15" s="49">
        <v>0</v>
      </c>
      <c r="G15" s="49">
        <f t="shared" si="0"/>
        <v>109</v>
      </c>
      <c r="H15" s="49">
        <v>109</v>
      </c>
      <c r="I15" s="49">
        <f t="shared" si="1"/>
        <v>0</v>
      </c>
      <c r="J15" s="49">
        <v>85</v>
      </c>
      <c r="K15" s="49">
        <f t="shared" si="2"/>
        <v>0</v>
      </c>
      <c r="L15" s="49">
        <f t="shared" si="3"/>
        <v>0</v>
      </c>
      <c r="M15" s="49" t="str">
        <f t="shared" si="4"/>
        <v>OK</v>
      </c>
    </row>
    <row r="16" spans="1:13">
      <c r="A16" s="21">
        <v>45890</v>
      </c>
      <c r="B16" s="49">
        <f t="shared" si="5"/>
        <v>109</v>
      </c>
      <c r="C16" s="49">
        <v>0</v>
      </c>
      <c r="D16" s="49">
        <v>0</v>
      </c>
      <c r="E16" s="49">
        <v>8</v>
      </c>
      <c r="F16" s="49">
        <v>0</v>
      </c>
      <c r="G16" s="49">
        <f t="shared" si="0"/>
        <v>101</v>
      </c>
      <c r="H16" s="49">
        <v>101</v>
      </c>
      <c r="I16" s="49">
        <f t="shared" si="1"/>
        <v>0</v>
      </c>
      <c r="J16" s="49">
        <v>85</v>
      </c>
      <c r="K16" s="49">
        <f t="shared" si="2"/>
        <v>0</v>
      </c>
      <c r="L16" s="49">
        <f t="shared" si="3"/>
        <v>0</v>
      </c>
      <c r="M16" s="49" t="str">
        <f t="shared" si="4"/>
        <v>OK</v>
      </c>
    </row>
    <row r="17" spans="1:13">
      <c r="A17" s="21">
        <v>45891</v>
      </c>
      <c r="B17" s="49">
        <f t="shared" si="5"/>
        <v>101</v>
      </c>
      <c r="C17" s="49">
        <v>0</v>
      </c>
      <c r="D17" s="49">
        <v>0</v>
      </c>
      <c r="E17" s="49">
        <v>6</v>
      </c>
      <c r="F17" s="49">
        <v>0</v>
      </c>
      <c r="G17" s="49">
        <f t="shared" si="0"/>
        <v>95</v>
      </c>
      <c r="H17" s="49">
        <v>95</v>
      </c>
      <c r="I17" s="49">
        <f t="shared" si="1"/>
        <v>0</v>
      </c>
      <c r="J17" s="49">
        <v>85</v>
      </c>
      <c r="K17" s="49">
        <f t="shared" si="2"/>
        <v>0</v>
      </c>
      <c r="L17" s="49">
        <f t="shared" si="3"/>
        <v>0</v>
      </c>
      <c r="M17" s="49" t="str">
        <f t="shared" si="4"/>
        <v>OK</v>
      </c>
    </row>
    <row r="18" s="45" customFormat="1" spans="1:13">
      <c r="A18" s="50">
        <v>45892</v>
      </c>
      <c r="B18" s="51">
        <f t="shared" si="5"/>
        <v>95</v>
      </c>
      <c r="C18" s="51">
        <v>0</v>
      </c>
      <c r="D18" s="51">
        <v>0</v>
      </c>
      <c r="E18" s="51">
        <v>9</v>
      </c>
      <c r="F18" s="51">
        <v>0</v>
      </c>
      <c r="G18" s="51">
        <f t="shared" si="0"/>
        <v>86</v>
      </c>
      <c r="H18" s="51">
        <v>86</v>
      </c>
      <c r="I18" s="51">
        <f t="shared" si="1"/>
        <v>0</v>
      </c>
      <c r="J18" s="51">
        <v>85</v>
      </c>
      <c r="K18" s="51">
        <f t="shared" si="2"/>
        <v>0</v>
      </c>
      <c r="L18" s="51">
        <f t="shared" si="3"/>
        <v>0</v>
      </c>
      <c r="M18" s="51" t="str">
        <f t="shared" si="4"/>
        <v>OK</v>
      </c>
    </row>
    <row r="19" spans="1:13">
      <c r="A19" s="21">
        <v>45893</v>
      </c>
      <c r="B19" s="49">
        <f t="shared" si="5"/>
        <v>86</v>
      </c>
      <c r="C19" s="49">
        <v>0</v>
      </c>
      <c r="D19" s="49">
        <v>0</v>
      </c>
      <c r="E19" s="49">
        <v>4</v>
      </c>
      <c r="F19" s="49">
        <v>0</v>
      </c>
      <c r="G19" s="49">
        <f t="shared" si="0"/>
        <v>82</v>
      </c>
      <c r="H19" s="49">
        <v>82</v>
      </c>
      <c r="I19" s="49">
        <f t="shared" si="1"/>
        <v>0</v>
      </c>
      <c r="J19" s="49">
        <v>85</v>
      </c>
      <c r="K19" s="49">
        <f t="shared" si="2"/>
        <v>0</v>
      </c>
      <c r="L19" s="49">
        <f t="shared" si="3"/>
        <v>0</v>
      </c>
      <c r="M19" s="49" t="str">
        <f t="shared" si="4"/>
        <v>OK</v>
      </c>
    </row>
    <row r="20" spans="1:13">
      <c r="A20" s="21">
        <v>45894</v>
      </c>
      <c r="B20" s="49">
        <f t="shared" si="5"/>
        <v>82</v>
      </c>
      <c r="C20" s="49">
        <v>0</v>
      </c>
      <c r="D20" s="49">
        <v>0</v>
      </c>
      <c r="E20" s="49">
        <v>6</v>
      </c>
      <c r="F20" s="49">
        <v>0</v>
      </c>
      <c r="G20" s="49">
        <f t="shared" si="0"/>
        <v>76</v>
      </c>
      <c r="H20" s="49">
        <v>76</v>
      </c>
      <c r="I20" s="49">
        <f t="shared" si="1"/>
        <v>0</v>
      </c>
      <c r="J20" s="49">
        <v>85</v>
      </c>
      <c r="K20" s="49">
        <f t="shared" si="2"/>
        <v>0</v>
      </c>
      <c r="L20" s="49">
        <f t="shared" si="3"/>
        <v>0</v>
      </c>
      <c r="M20" s="49" t="str">
        <f t="shared" si="4"/>
        <v>OK</v>
      </c>
    </row>
    <row r="21" spans="1:13">
      <c r="A21" s="21">
        <v>45895</v>
      </c>
      <c r="B21" s="49">
        <f t="shared" si="5"/>
        <v>76</v>
      </c>
      <c r="C21" s="49">
        <v>0</v>
      </c>
      <c r="D21" s="49">
        <v>0</v>
      </c>
      <c r="E21" s="49">
        <v>5</v>
      </c>
      <c r="F21" s="49">
        <v>0</v>
      </c>
      <c r="G21" s="49">
        <f t="shared" ref="G21:G30" si="6">B21+C21+D21-E21-F21</f>
        <v>71</v>
      </c>
      <c r="H21" s="49">
        <v>71</v>
      </c>
      <c r="I21" s="49">
        <f t="shared" si="1"/>
        <v>0</v>
      </c>
      <c r="J21" s="49">
        <v>85</v>
      </c>
      <c r="K21" s="49">
        <f t="shared" si="2"/>
        <v>0</v>
      </c>
      <c r="L21" s="49">
        <f t="shared" si="3"/>
        <v>0</v>
      </c>
      <c r="M21" s="49" t="str">
        <f t="shared" si="4"/>
        <v>OK</v>
      </c>
    </row>
    <row r="22" spans="1:13">
      <c r="A22" s="21">
        <v>45896</v>
      </c>
      <c r="B22" s="49">
        <f t="shared" si="5"/>
        <v>71</v>
      </c>
      <c r="C22" s="49">
        <v>0</v>
      </c>
      <c r="D22" s="49">
        <v>0</v>
      </c>
      <c r="E22" s="49">
        <v>2</v>
      </c>
      <c r="F22" s="49">
        <v>0</v>
      </c>
      <c r="G22" s="49">
        <f t="shared" si="6"/>
        <v>69</v>
      </c>
      <c r="H22" s="49">
        <v>69</v>
      </c>
      <c r="I22" s="49">
        <f t="shared" si="1"/>
        <v>0</v>
      </c>
      <c r="J22" s="49">
        <v>85</v>
      </c>
      <c r="K22" s="49">
        <f t="shared" si="2"/>
        <v>0</v>
      </c>
      <c r="L22" s="49">
        <f t="shared" si="3"/>
        <v>0</v>
      </c>
      <c r="M22" s="49" t="str">
        <f t="shared" si="4"/>
        <v>OK</v>
      </c>
    </row>
    <row r="23" spans="1:13">
      <c r="A23" s="21">
        <v>45897</v>
      </c>
      <c r="B23" s="49">
        <f t="shared" si="5"/>
        <v>69</v>
      </c>
      <c r="C23" s="49">
        <v>40</v>
      </c>
      <c r="D23" s="49">
        <v>0</v>
      </c>
      <c r="E23" s="49">
        <v>6</v>
      </c>
      <c r="F23" s="49">
        <v>1</v>
      </c>
      <c r="G23" s="49">
        <f t="shared" si="6"/>
        <v>102</v>
      </c>
      <c r="H23" s="49">
        <v>98</v>
      </c>
      <c r="I23" s="49">
        <f t="shared" si="1"/>
        <v>-4</v>
      </c>
      <c r="J23" s="49">
        <v>85</v>
      </c>
      <c r="K23" s="49">
        <f t="shared" si="2"/>
        <v>-340</v>
      </c>
      <c r="L23" s="58">
        <f t="shared" si="3"/>
        <v>-0.0392156862745098</v>
      </c>
      <c r="M23" s="49" t="str">
        <f t="shared" si="4"/>
        <v>Investigate</v>
      </c>
    </row>
    <row r="24" spans="1:13">
      <c r="A24" s="21">
        <v>45898</v>
      </c>
      <c r="B24" s="49">
        <f t="shared" si="5"/>
        <v>102</v>
      </c>
      <c r="C24" s="49">
        <v>0</v>
      </c>
      <c r="D24" s="49">
        <v>0</v>
      </c>
      <c r="E24" s="49">
        <v>4</v>
      </c>
      <c r="F24" s="49">
        <v>0</v>
      </c>
      <c r="G24" s="49">
        <f t="shared" si="6"/>
        <v>98</v>
      </c>
      <c r="H24" s="49">
        <v>98</v>
      </c>
      <c r="I24" s="49">
        <f t="shared" si="1"/>
        <v>0</v>
      </c>
      <c r="J24" s="49">
        <v>85</v>
      </c>
      <c r="K24" s="49">
        <f t="shared" si="2"/>
        <v>0</v>
      </c>
      <c r="L24" s="49">
        <f t="shared" si="3"/>
        <v>0</v>
      </c>
      <c r="M24" s="49" t="str">
        <f t="shared" si="4"/>
        <v>OK</v>
      </c>
    </row>
    <row r="25" s="45" customFormat="1" spans="1:13">
      <c r="A25" s="50">
        <v>45899</v>
      </c>
      <c r="B25" s="51">
        <f t="shared" si="5"/>
        <v>98</v>
      </c>
      <c r="C25" s="51">
        <v>0</v>
      </c>
      <c r="D25" s="51">
        <v>0</v>
      </c>
      <c r="E25" s="51">
        <v>9</v>
      </c>
      <c r="F25" s="51">
        <v>0</v>
      </c>
      <c r="G25" s="51">
        <f t="shared" si="6"/>
        <v>89</v>
      </c>
      <c r="H25" s="51">
        <v>89</v>
      </c>
      <c r="I25" s="51">
        <f t="shared" si="1"/>
        <v>0</v>
      </c>
      <c r="J25" s="51">
        <v>85</v>
      </c>
      <c r="K25" s="51">
        <f t="shared" si="2"/>
        <v>0</v>
      </c>
      <c r="L25" s="51">
        <f t="shared" si="3"/>
        <v>0</v>
      </c>
      <c r="M25" s="51" t="str">
        <f t="shared" si="4"/>
        <v>OK</v>
      </c>
    </row>
    <row r="26" spans="1:13">
      <c r="A26" s="21">
        <v>45900</v>
      </c>
      <c r="B26" s="49">
        <f t="shared" si="5"/>
        <v>89</v>
      </c>
      <c r="C26" s="49">
        <v>0</v>
      </c>
      <c r="D26" s="49">
        <v>0</v>
      </c>
      <c r="E26" s="49">
        <v>7</v>
      </c>
      <c r="F26" s="49">
        <v>0</v>
      </c>
      <c r="G26" s="49">
        <f t="shared" si="6"/>
        <v>82</v>
      </c>
      <c r="H26" s="49">
        <v>82</v>
      </c>
      <c r="I26" s="49">
        <f t="shared" si="1"/>
        <v>0</v>
      </c>
      <c r="J26" s="49">
        <v>85</v>
      </c>
      <c r="K26" s="49">
        <f t="shared" si="2"/>
        <v>0</v>
      </c>
      <c r="L26" s="49">
        <f t="shared" si="3"/>
        <v>0</v>
      </c>
      <c r="M26" s="49" t="str">
        <f t="shared" si="4"/>
        <v>OK</v>
      </c>
    </row>
    <row r="27" spans="1:13">
      <c r="A27" s="21">
        <v>45901</v>
      </c>
      <c r="B27" s="49">
        <f t="shared" si="5"/>
        <v>82</v>
      </c>
      <c r="C27" s="49">
        <v>0</v>
      </c>
      <c r="D27" s="49">
        <v>0</v>
      </c>
      <c r="E27" s="49">
        <v>1</v>
      </c>
      <c r="F27" s="49">
        <v>0</v>
      </c>
      <c r="G27" s="49">
        <f t="shared" si="6"/>
        <v>81</v>
      </c>
      <c r="H27" s="49">
        <v>81</v>
      </c>
      <c r="I27" s="49">
        <f t="shared" si="1"/>
        <v>0</v>
      </c>
      <c r="J27" s="49">
        <v>85</v>
      </c>
      <c r="K27" s="49">
        <f t="shared" si="2"/>
        <v>0</v>
      </c>
      <c r="L27" s="49">
        <f t="shared" si="3"/>
        <v>0</v>
      </c>
      <c r="M27" s="49" t="str">
        <f t="shared" si="4"/>
        <v>OK</v>
      </c>
    </row>
    <row r="28" spans="1:13">
      <c r="A28" s="21">
        <v>45902</v>
      </c>
      <c r="B28" s="49">
        <f t="shared" si="5"/>
        <v>81</v>
      </c>
      <c r="C28" s="49">
        <v>0</v>
      </c>
      <c r="D28" s="49">
        <v>0</v>
      </c>
      <c r="E28" s="49">
        <v>3</v>
      </c>
      <c r="F28" s="49">
        <v>0</v>
      </c>
      <c r="G28" s="49">
        <f t="shared" si="6"/>
        <v>78</v>
      </c>
      <c r="H28" s="49">
        <v>78</v>
      </c>
      <c r="I28" s="49">
        <f t="shared" si="1"/>
        <v>0</v>
      </c>
      <c r="J28" s="49">
        <v>85</v>
      </c>
      <c r="K28" s="49">
        <f t="shared" si="2"/>
        <v>0</v>
      </c>
      <c r="L28" s="49">
        <f t="shared" si="3"/>
        <v>0</v>
      </c>
      <c r="M28" s="49" t="str">
        <f t="shared" si="4"/>
        <v>OK</v>
      </c>
    </row>
    <row r="29" spans="1:13">
      <c r="A29" s="21">
        <v>45903</v>
      </c>
      <c r="B29" s="49">
        <f t="shared" si="5"/>
        <v>78</v>
      </c>
      <c r="C29" s="49">
        <v>0</v>
      </c>
      <c r="D29" s="49">
        <v>0</v>
      </c>
      <c r="E29" s="49">
        <v>4</v>
      </c>
      <c r="F29" s="49">
        <v>0</v>
      </c>
      <c r="G29" s="49">
        <f t="shared" si="6"/>
        <v>74</v>
      </c>
      <c r="H29" s="49">
        <v>74</v>
      </c>
      <c r="I29" s="49">
        <f t="shared" si="1"/>
        <v>0</v>
      </c>
      <c r="J29" s="49">
        <v>85</v>
      </c>
      <c r="K29" s="49">
        <f t="shared" si="2"/>
        <v>0</v>
      </c>
      <c r="L29" s="49">
        <f t="shared" si="3"/>
        <v>0</v>
      </c>
      <c r="M29" s="49" t="str">
        <f t="shared" si="4"/>
        <v>OK</v>
      </c>
    </row>
    <row r="30" spans="1:13">
      <c r="A30" s="21">
        <v>45904</v>
      </c>
      <c r="B30" s="49">
        <f t="shared" si="5"/>
        <v>74</v>
      </c>
      <c r="C30" s="49">
        <v>0</v>
      </c>
      <c r="D30" s="49">
        <v>0</v>
      </c>
      <c r="E30" s="49">
        <v>8</v>
      </c>
      <c r="F30" s="49">
        <v>0</v>
      </c>
      <c r="G30" s="49">
        <f t="shared" si="6"/>
        <v>66</v>
      </c>
      <c r="H30" s="49">
        <v>66</v>
      </c>
      <c r="I30" s="49">
        <f t="shared" si="1"/>
        <v>0</v>
      </c>
      <c r="J30" s="49">
        <v>85</v>
      </c>
      <c r="K30" s="49">
        <f t="shared" si="2"/>
        <v>0</v>
      </c>
      <c r="L30" s="49">
        <f t="shared" si="3"/>
        <v>0</v>
      </c>
      <c r="M30" s="49" t="str">
        <f t="shared" si="4"/>
        <v>OK</v>
      </c>
    </row>
    <row r="31" spans="5:9">
      <c r="E31" s="52">
        <f>SUM(E2:E30)</f>
        <v>161</v>
      </c>
      <c r="F31" s="52">
        <f>SUM(F2:F30)</f>
        <v>3</v>
      </c>
      <c r="I31" s="52">
        <f>I13+I8+I23</f>
        <v>-3</v>
      </c>
    </row>
    <row r="32" spans="1:2">
      <c r="A32" s="53" t="s">
        <v>13</v>
      </c>
      <c r="B32" s="53"/>
    </row>
    <row r="33" s="46" customFormat="1" ht="36" customHeight="1" spans="1:2">
      <c r="A33" s="54" t="s">
        <v>14</v>
      </c>
      <c r="B33" s="55">
        <f>SUM(C2:C31)</f>
        <v>130</v>
      </c>
    </row>
    <row r="34" s="46" customFormat="1" ht="25" customHeight="1" spans="1:2">
      <c r="A34" s="54" t="s">
        <v>15</v>
      </c>
      <c r="B34" s="55">
        <f>SUM(F2:F31)</f>
        <v>6</v>
      </c>
    </row>
    <row r="35" s="46" customFormat="1" ht="37" customHeight="1" spans="1:2">
      <c r="A35" s="54" t="s">
        <v>16</v>
      </c>
      <c r="B35" s="55">
        <f>SUM(K2:K31)</f>
        <v>-255</v>
      </c>
    </row>
    <row r="36" s="46" customFormat="1" ht="42" customHeight="1" spans="1:2">
      <c r="A36" s="54" t="s">
        <v>17</v>
      </c>
      <c r="B36" s="56">
        <f>G30*J30</f>
        <v>5610</v>
      </c>
    </row>
    <row r="37" ht="32" customHeight="1"/>
    <row r="38" ht="28" customHeight="1"/>
    <row r="39" ht="43" customHeight="1"/>
  </sheetData>
  <mergeCells count="1">
    <mergeCell ref="A32:B32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tabSelected="1" zoomScale="85" zoomScaleNormal="85" zoomScalePageLayoutView="40" workbookViewId="0">
      <selection activeCell="I20" sqref="I20"/>
    </sheetView>
  </sheetViews>
  <sheetFormatPr defaultColWidth="8.72727272727273" defaultRowHeight="14.5"/>
  <cols>
    <col min="1" max="1" width="22.5454545454545" customWidth="1"/>
    <col min="2" max="2" width="10.0909090909091" customWidth="1"/>
    <col min="4" max="4" width="19.4545454545455" customWidth="1"/>
    <col min="7" max="7" width="22.0909090909091" customWidth="1"/>
    <col min="9" max="9" width="24.7272727272727" customWidth="1"/>
  </cols>
  <sheetData>
    <row r="1" s="23" customFormat="1" spans="1:2">
      <c r="A1" s="25" t="s">
        <v>18</v>
      </c>
      <c r="B1" s="25"/>
    </row>
    <row r="2" spans="1:2">
      <c r="A2" s="26" t="s">
        <v>19</v>
      </c>
      <c r="B2" s="26">
        <f>Inventory_Ledger!B2*Inventory_Ledger!J2</f>
        <v>8500</v>
      </c>
    </row>
    <row r="3" spans="1:6">
      <c r="A3" s="26" t="s">
        <v>20</v>
      </c>
      <c r="B3" s="26">
        <f>SUM(Inventory_Ledger!C2:C31)*Inventory_Ledger!J2</f>
        <v>11050</v>
      </c>
      <c r="D3" s="27" t="s">
        <v>21</v>
      </c>
      <c r="E3" s="27"/>
      <c r="F3" s="27"/>
    </row>
    <row r="4" ht="15" customHeight="1" spans="1:6">
      <c r="A4" s="26" t="s">
        <v>22</v>
      </c>
      <c r="B4" s="28">
        <f>Inventory_Ledger!G30*Inventory_Ledger!J2</f>
        <v>5610</v>
      </c>
      <c r="D4" s="29" t="s">
        <v>23</v>
      </c>
      <c r="E4" s="29">
        <v>85</v>
      </c>
      <c r="F4" s="29"/>
    </row>
    <row r="5" ht="14" customHeight="1" spans="1:6">
      <c r="A5" s="26" t="s">
        <v>24</v>
      </c>
      <c r="B5" s="26">
        <f>B2+B3-B4</f>
        <v>13940</v>
      </c>
      <c r="D5" s="29" t="s">
        <v>25</v>
      </c>
      <c r="E5" s="29">
        <v>164</v>
      </c>
      <c r="F5" s="29" t="s">
        <v>26</v>
      </c>
    </row>
    <row r="6" ht="13" customHeight="1" spans="4:6">
      <c r="D6" s="28" t="s">
        <v>27</v>
      </c>
      <c r="E6" s="22">
        <v>380</v>
      </c>
      <c r="F6" s="28"/>
    </row>
    <row r="7" s="24" customFormat="1" ht="17" customHeight="1" spans="1:6">
      <c r="A7" s="30" t="s">
        <v>28</v>
      </c>
      <c r="B7" s="31"/>
      <c r="D7" s="28" t="s">
        <v>29</v>
      </c>
      <c r="E7" s="32">
        <v>0.08</v>
      </c>
      <c r="F7" s="33"/>
    </row>
    <row r="8" spans="1:2">
      <c r="A8" s="28" t="s">
        <v>30</v>
      </c>
      <c r="B8" s="34">
        <f>E6*E5</f>
        <v>62320</v>
      </c>
    </row>
    <row r="9" spans="1:2">
      <c r="A9" s="28" t="s">
        <v>31</v>
      </c>
      <c r="B9" s="34">
        <f>B8*E7</f>
        <v>4985.6</v>
      </c>
    </row>
    <row r="10" spans="1:9">
      <c r="A10" s="28" t="s">
        <v>32</v>
      </c>
      <c r="B10" s="34">
        <f>B8-B9</f>
        <v>57334.4</v>
      </c>
      <c r="G10" s="35"/>
      <c r="H10" s="35"/>
      <c r="I10" s="35"/>
    </row>
    <row r="11" spans="1:2">
      <c r="A11" s="28" t="s">
        <v>24</v>
      </c>
      <c r="B11" s="28">
        <f>B5</f>
        <v>13940</v>
      </c>
    </row>
    <row r="12" spans="1:8">
      <c r="A12" s="28" t="s">
        <v>33</v>
      </c>
      <c r="B12" s="34">
        <f>B10-B5</f>
        <v>43394.4</v>
      </c>
      <c r="G12" s="35"/>
      <c r="H12" s="35"/>
    </row>
    <row r="13" spans="1:2">
      <c r="A13" s="28" t="s">
        <v>34</v>
      </c>
      <c r="B13" s="36">
        <f>(B10-B5)/B10</f>
        <v>0.756864988558352</v>
      </c>
    </row>
    <row r="14" spans="1:2">
      <c r="A14" s="3" t="s">
        <v>35</v>
      </c>
      <c r="B14" s="37">
        <f>B5/B10</f>
        <v>0.243135011441648</v>
      </c>
    </row>
    <row r="16" spans="1:5">
      <c r="A16" s="38" t="s">
        <v>36</v>
      </c>
      <c r="B16" s="39"/>
      <c r="C16" s="39"/>
      <c r="D16" s="39"/>
      <c r="E16" s="39"/>
    </row>
    <row r="17" ht="14" customHeight="1" spans="1:5">
      <c r="A17" s="40" t="s">
        <v>37</v>
      </c>
      <c r="B17" s="40" t="s">
        <v>38</v>
      </c>
      <c r="C17" s="40" t="s">
        <v>39</v>
      </c>
      <c r="D17" s="40" t="s">
        <v>40</v>
      </c>
      <c r="E17" s="40" t="s">
        <v>11</v>
      </c>
    </row>
    <row r="18" spans="1:5">
      <c r="A18" s="41" t="s">
        <v>24</v>
      </c>
      <c r="B18" s="42">
        <v>13000</v>
      </c>
      <c r="C18" s="42">
        <v>13940</v>
      </c>
      <c r="D18" s="42">
        <f>C18-B18</f>
        <v>940</v>
      </c>
      <c r="E18" s="43">
        <f>D18/B18</f>
        <v>0.0723076923076923</v>
      </c>
    </row>
  </sheetData>
  <mergeCells count="4">
    <mergeCell ref="A1:B1"/>
    <mergeCell ref="D3:F3"/>
    <mergeCell ref="A7:B7"/>
    <mergeCell ref="A16:E16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D21" sqref="D21"/>
    </sheetView>
  </sheetViews>
  <sheetFormatPr defaultColWidth="8.72727272727273" defaultRowHeight="14.5" outlineLevelRow="2" outlineLevelCol="6"/>
  <cols>
    <col min="1" max="1" width="11"/>
    <col min="2" max="2" width="14.1818181818182" customWidth="1"/>
    <col min="6" max="6" width="12.7272727272727" customWidth="1"/>
    <col min="7" max="7" width="16.4545454545455" customWidth="1"/>
  </cols>
  <sheetData>
    <row r="1" spans="1:7">
      <c r="A1" s="19" t="s">
        <v>0</v>
      </c>
      <c r="B1" s="20" t="s">
        <v>41</v>
      </c>
      <c r="C1" s="20" t="s">
        <v>42</v>
      </c>
      <c r="D1" s="20" t="s">
        <v>39</v>
      </c>
      <c r="E1" s="20" t="s">
        <v>40</v>
      </c>
      <c r="F1" s="20" t="s">
        <v>43</v>
      </c>
      <c r="G1" s="20" t="s">
        <v>44</v>
      </c>
    </row>
    <row r="2" spans="1:7">
      <c r="A2" s="21">
        <v>45892</v>
      </c>
      <c r="B2" s="22" t="s">
        <v>45</v>
      </c>
      <c r="C2" s="22">
        <v>6</v>
      </c>
      <c r="D2" s="22">
        <v>9</v>
      </c>
      <c r="E2" s="22">
        <v>3</v>
      </c>
      <c r="F2" s="22">
        <f>9*85</f>
        <v>765</v>
      </c>
      <c r="G2" s="22">
        <f>9*380</f>
        <v>3420</v>
      </c>
    </row>
    <row r="3" spans="1:7">
      <c r="A3" s="21">
        <v>45899</v>
      </c>
      <c r="B3" s="22" t="s">
        <v>46</v>
      </c>
      <c r="C3" s="22">
        <v>6</v>
      </c>
      <c r="D3" s="22">
        <v>9</v>
      </c>
      <c r="E3" s="22">
        <v>3</v>
      </c>
      <c r="F3" s="22">
        <f>9*85</f>
        <v>765</v>
      </c>
      <c r="G3" s="22">
        <f>9*380</f>
        <v>3420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view="pageBreakPreview" zoomScale="70" zoomScaleNormal="85" workbookViewId="0">
      <selection activeCell="N9" sqref="N9"/>
    </sheetView>
  </sheetViews>
  <sheetFormatPr defaultColWidth="8.72727272727273" defaultRowHeight="14.5" outlineLevelCol="2"/>
  <cols>
    <col min="1" max="1" width="24" customWidth="1"/>
    <col min="2" max="2" width="25.7727272727273" customWidth="1"/>
    <col min="3" max="3" width="15.7181818181818" customWidth="1"/>
  </cols>
  <sheetData>
    <row r="1" spans="1:3">
      <c r="A1" s="4" t="s">
        <v>47</v>
      </c>
      <c r="B1" s="4"/>
      <c r="C1" s="4"/>
    </row>
    <row r="2" spans="1:3">
      <c r="A2" s="5" t="s">
        <v>48</v>
      </c>
      <c r="B2" s="5" t="s">
        <v>32</v>
      </c>
      <c r="C2" s="5" t="s">
        <v>24</v>
      </c>
    </row>
    <row r="3" spans="1:3">
      <c r="A3" s="6">
        <f>COGS_Reconciliation!B8</f>
        <v>62320</v>
      </c>
      <c r="B3" s="6">
        <f>COGS_Reconciliation!B10</f>
        <v>57334.4</v>
      </c>
      <c r="C3" s="7">
        <f>COGS_Reconciliation!B5</f>
        <v>13940</v>
      </c>
    </row>
    <row r="4" spans="1:3">
      <c r="A4" s="8" t="s">
        <v>34</v>
      </c>
      <c r="B4" s="8" t="s">
        <v>35</v>
      </c>
      <c r="C4" s="9"/>
    </row>
    <row r="5" spans="1:3">
      <c r="A5" s="10">
        <f>COGS_Reconciliation!B13</f>
        <v>0.756864988558352</v>
      </c>
      <c r="B5" s="10">
        <f>COGS_Reconciliation!B14</f>
        <v>0.243135011441648</v>
      </c>
      <c r="C5" s="9"/>
    </row>
    <row r="6" spans="1:3">
      <c r="A6" s="8" t="s">
        <v>49</v>
      </c>
      <c r="B6" s="8" t="s">
        <v>50</v>
      </c>
      <c r="C6" s="9"/>
    </row>
    <row r="7" spans="1:3">
      <c r="A7" s="10">
        <f>Inventory_Ledger!I31/Inventory_Ledger!E31</f>
        <v>-0.0186335403726708</v>
      </c>
      <c r="B7" s="11">
        <f>Inventory_Ledger!F31/Inventory_Ledger!E31</f>
        <v>0.0186335403726708</v>
      </c>
      <c r="C7" s="9"/>
    </row>
    <row r="8" spans="1:3">
      <c r="A8" s="12"/>
      <c r="B8" s="12"/>
      <c r="C8" s="12"/>
    </row>
    <row r="9" spans="1:3">
      <c r="A9" s="12"/>
      <c r="B9" s="12"/>
      <c r="C9" s="12"/>
    </row>
    <row r="10" spans="1:3">
      <c r="A10" s="4" t="s">
        <v>51</v>
      </c>
      <c r="B10" s="4"/>
      <c r="C10" s="13"/>
    </row>
    <row r="11" spans="1:3">
      <c r="A11" s="14" t="s">
        <v>37</v>
      </c>
      <c r="B11" s="14" t="s">
        <v>51</v>
      </c>
      <c r="C11" s="12"/>
    </row>
    <row r="12" spans="1:3">
      <c r="A12" s="15" t="s">
        <v>35</v>
      </c>
      <c r="B12" s="15" t="str">
        <f>IF(COGS_Reconciliation!B14%&lt;=0.25,"Within Target","Over Target")</f>
        <v>Within Target</v>
      </c>
      <c r="C12" s="12"/>
    </row>
    <row r="13" spans="1:3">
      <c r="A13" s="15" t="s">
        <v>52</v>
      </c>
      <c r="B13" s="15" t="str">
        <f>IF(ABS(A7)&lt;=0.03,"Controlled","Investigate")</f>
        <v>Controlled</v>
      </c>
      <c r="C13" s="12"/>
    </row>
    <row r="14" spans="1:3">
      <c r="A14" s="15" t="s">
        <v>53</v>
      </c>
      <c r="B14" s="15" t="str">
        <f>IF(COGS_Reconciliation!E7&lt;=0.1,"Acceptable","High Discount Risk")</f>
        <v>Acceptable</v>
      </c>
      <c r="C14" s="12"/>
    </row>
    <row r="15" spans="1:3">
      <c r="A15" s="12"/>
      <c r="B15" s="12"/>
      <c r="C15" s="12"/>
    </row>
    <row r="46" spans="2:3">
      <c r="B46" s="16" t="s">
        <v>37</v>
      </c>
      <c r="C46" s="16" t="s">
        <v>54</v>
      </c>
    </row>
    <row r="47" spans="2:3">
      <c r="B47" s="17" t="s">
        <v>32</v>
      </c>
      <c r="C47" s="18">
        <f>COGS_Reconciliation!B10</f>
        <v>57334.4</v>
      </c>
    </row>
    <row r="48" spans="2:3">
      <c r="B48" s="17" t="s">
        <v>24</v>
      </c>
      <c r="C48" s="18">
        <f>COGS_Reconciliation!B5</f>
        <v>13940</v>
      </c>
    </row>
    <row r="50" spans="2:3">
      <c r="B50" s="16" t="s">
        <v>55</v>
      </c>
      <c r="C50" s="16" t="s">
        <v>54</v>
      </c>
    </row>
    <row r="51" spans="2:3">
      <c r="B51" s="17" t="s">
        <v>24</v>
      </c>
      <c r="C51" s="18">
        <f>C48</f>
        <v>13940</v>
      </c>
    </row>
    <row r="52" spans="2:3">
      <c r="B52" s="17" t="s">
        <v>33</v>
      </c>
      <c r="C52" s="18">
        <f>C47-C48</f>
        <v>43394.4</v>
      </c>
    </row>
  </sheetData>
  <mergeCells count="2">
    <mergeCell ref="A1:C1"/>
    <mergeCell ref="A10:B10"/>
  </mergeCells>
  <pageMargins left="0.75" right="0.75" top="1" bottom="1" header="0.5" footer="0.5"/>
  <pageSetup paperSize="9" orientation="landscape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zoomScale="85" zoomScaleNormal="85" workbookViewId="0">
      <selection activeCell="C12" sqref="C12"/>
    </sheetView>
  </sheetViews>
  <sheetFormatPr defaultColWidth="8.72727272727273" defaultRowHeight="14.5" outlineLevelRow="6" outlineLevelCol="4"/>
  <cols>
    <col min="1" max="1" width="29.6545454545455" customWidth="1"/>
    <col min="2" max="2" width="14.7727272727273" customWidth="1"/>
    <col min="3" max="3" width="20.7545454545455" customWidth="1"/>
    <col min="4" max="4" width="14.1545454545455" customWidth="1"/>
    <col min="5" max="5" width="24.3818181818182" customWidth="1"/>
  </cols>
  <sheetData>
    <row r="1" ht="14" customHeight="1" spans="1:5">
      <c r="A1" s="1" t="s">
        <v>56</v>
      </c>
      <c r="B1" s="1" t="s">
        <v>57</v>
      </c>
      <c r="C1" s="1" t="s">
        <v>58</v>
      </c>
      <c r="D1" s="1" t="s">
        <v>51</v>
      </c>
      <c r="E1" s="1" t="s">
        <v>59</v>
      </c>
    </row>
    <row r="2" spans="1:5">
      <c r="A2" s="2" t="s">
        <v>60</v>
      </c>
      <c r="B2" s="3" t="s">
        <v>61</v>
      </c>
      <c r="C2" s="3" t="s">
        <v>62</v>
      </c>
      <c r="D2" s="3" t="s">
        <v>63</v>
      </c>
      <c r="E2" s="3" t="s">
        <v>64</v>
      </c>
    </row>
    <row r="3" spans="1:5">
      <c r="A3" s="2" t="s">
        <v>65</v>
      </c>
      <c r="B3" s="3" t="s">
        <v>66</v>
      </c>
      <c r="C3" s="3" t="s">
        <v>67</v>
      </c>
      <c r="D3" s="3" t="s">
        <v>63</v>
      </c>
      <c r="E3" s="3" t="s">
        <v>68</v>
      </c>
    </row>
    <row r="4" spans="1:5">
      <c r="A4" s="2" t="s">
        <v>69</v>
      </c>
      <c r="B4" s="3" t="s">
        <v>70</v>
      </c>
      <c r="C4" s="3" t="s">
        <v>71</v>
      </c>
      <c r="D4" s="3" t="s">
        <v>72</v>
      </c>
      <c r="E4" s="3" t="s">
        <v>73</v>
      </c>
    </row>
    <row r="5" spans="1:5">
      <c r="A5" s="2" t="s">
        <v>74</v>
      </c>
      <c r="B5" s="3" t="s">
        <v>75</v>
      </c>
      <c r="C5" s="3" t="s">
        <v>71</v>
      </c>
      <c r="D5" s="3" t="s">
        <v>63</v>
      </c>
      <c r="E5" s="3" t="s">
        <v>76</v>
      </c>
    </row>
    <row r="6" spans="1:5">
      <c r="A6" s="2" t="s">
        <v>77</v>
      </c>
      <c r="B6" s="3" t="s">
        <v>78</v>
      </c>
      <c r="C6" s="3" t="s">
        <v>71</v>
      </c>
      <c r="D6" s="3" t="s">
        <v>79</v>
      </c>
      <c r="E6" s="3" t="s">
        <v>80</v>
      </c>
    </row>
    <row r="7" spans="1:5">
      <c r="A7" s="2" t="s">
        <v>81</v>
      </c>
      <c r="B7" s="3" t="s">
        <v>82</v>
      </c>
      <c r="C7" s="3" t="s">
        <v>71</v>
      </c>
      <c r="D7" s="3" t="s">
        <v>83</v>
      </c>
      <c r="E7" s="3" t="s">
        <v>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Inventory_Ledger</vt:lpstr>
      <vt:lpstr>COGS_Reconciliation</vt:lpstr>
      <vt:lpstr>Event_Monitoring</vt:lpstr>
      <vt:lpstr>Dashboard</vt:lpstr>
      <vt:lpstr>Control_Checklist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Shivkanya Balamurugan</cp:lastModifiedBy>
  <dcterms:created xsi:type="dcterms:W3CDTF">2026-02-18T16:31:00Z</dcterms:created>
  <dcterms:modified xsi:type="dcterms:W3CDTF">2026-02-24T09:08:10Z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5341C7F7D341470899AD2A4FA4D5F4DD_11</vt:lpwstr>
  </property>
  <property fmtid="{D5CDD505-2E9C-101B-9397-08002B2CF9AE}" pid="3" name="KSOProductBuildVer">
    <vt:lpwstr>2057-12.2.0.23197</vt:lpwstr>
  </property>
</Properties>
</file>